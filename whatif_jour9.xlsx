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ath\Downloads\"/>
    </mc:Choice>
  </mc:AlternateContent>
  <xr:revisionPtr revIDLastSave="0" documentId="13_ncr:1_{49D7F6B2-6ADF-42AD-A283-B0E335D51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nthèse de scénarios" sheetId="4" r:id="rId1"/>
    <sheet name="MODÈLE" sheetId="1" r:id="rId2"/>
    <sheet name="SCÉNARIOS" sheetId="2" r:id="rId3"/>
    <sheet name="VALEUR CIBLE" sheetId="3" r:id="rId4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" l="1"/>
  <c r="C11" i="1"/>
  <c r="C15" i="1" s="1"/>
  <c r="C16" i="1" s="1"/>
  <c r="C12" i="1" l="1"/>
  <c r="C14" i="1" s="1"/>
  <c r="H1" i="1" s="1"/>
  <c r="F1" i="1" l="1"/>
</calcChain>
</file>

<file path=xl/sharedStrings.xml><?xml version="1.0" encoding="utf-8"?>
<sst xmlns="http://schemas.openxmlformats.org/spreadsheetml/2006/main" count="96" uniqueCount="84">
  <si>
    <t>Modifie les hypothèses (cellules jaunes) — les calculs se mettent à jour</t>
  </si>
  <si>
    <t>HYPOTHÈSES (modifiables)</t>
  </si>
  <si>
    <t>Prix de vente unitaire</t>
  </si>
  <si>
    <t>Coût variable unitaire</t>
  </si>
  <si>
    <t>Charges fixes mensuelles</t>
  </si>
  <si>
    <t>Volume vendu (unités/mois)</t>
  </si>
  <si>
    <t>RÉSULTATS CALCULÉS</t>
  </si>
  <si>
    <t>Marge unitaire</t>
  </si>
  <si>
    <t>Marge totale (mois)</t>
  </si>
  <si>
    <t>Charges fixes</t>
  </si>
  <si>
    <t>Résultat net (mois)</t>
  </si>
  <si>
    <t>Seuil de rentabilité</t>
  </si>
  <si>
    <t>Marge de sécurité</t>
  </si>
  <si>
    <t>🔮  GESTIONNAIRE DE SCÉNARIOS — 3 hypothèses comparées</t>
  </si>
  <si>
    <t>Données → Prévision → Analyse de scénarios → Gestionnaire de scénarios</t>
  </si>
  <si>
    <t>PARAMÈTRE</t>
  </si>
  <si>
    <t>PESSIMISTE</t>
  </si>
  <si>
    <t>RÉALISTE</t>
  </si>
  <si>
    <t>OPTIMISTE</t>
  </si>
  <si>
    <t>RÉSULTATS PAR SCÉNARIO</t>
  </si>
  <si>
    <t>INDICATEUR</t>
  </si>
  <si>
    <t>Marge totale</t>
  </si>
  <si>
    <t>Résultat net</t>
  </si>
  <si>
    <t>Seuil rentabilité</t>
  </si>
  <si>
    <t>🎯  VALEUR CIBLE &amp; TABLE DE DONNÉES</t>
  </si>
  <si>
    <t>Données → Prévision → Analyse de scénarios → Valeur cible</t>
  </si>
  <si>
    <t>1   VALEUR CIBLE — Trouver le volume pour un résultat donné</t>
  </si>
  <si>
    <t>Question : combien d'unités vendre pour un résultat net de 10 000€ ?</t>
  </si>
  <si>
    <t>Cellule à définir : C14 (Résultat net)</t>
  </si>
  <si>
    <t>Valeur : 10000</t>
  </si>
  <si>
    <t>Cellule à modifier : C8 (Volume vendu)</t>
  </si>
  <si>
    <t>→ Excel ajuste C8 automatiquement jusqu'à ce que C14 = 10000</t>
  </si>
  <si>
    <t>→ Réponse trouvée : environ 1 312 unités/mois</t>
  </si>
  <si>
    <t>2   VALEUR CIBLE — Trouver le prix pour atteindre le seuil</t>
  </si>
  <si>
    <t>Question : à quel prix le seuil de rentabilité = volume actuel (900) ?</t>
  </si>
  <si>
    <t>Cellule à définir : C16 (Seuil de rentabilité)</t>
  </si>
  <si>
    <t>Valeur : 900</t>
  </si>
  <si>
    <t>Cellule à modifier : C5 (Prix de vente)</t>
  </si>
  <si>
    <t>→ Réponse : prix minimum ≈ 41,33€ pour être à l'équilibre à 900 unités</t>
  </si>
  <si>
    <t>3   TABLE DE DONNÉES À 1 VARIABLE</t>
  </si>
  <si>
    <t>Teste l'impact du Volume sur le Résultat net pour plusieurs valeurs</t>
  </si>
  <si>
    <t>1. Liste de volumes en colonne : 500, 700, 900, 1100, 1300</t>
  </si>
  <si>
    <t>2. Formule de résultat en haut à droite de la liste : =C14</t>
  </si>
  <si>
    <t>3. Sélectionner la plage incluant liste + formule</t>
  </si>
  <si>
    <t>4. Données → Analyse de scénarios → Table de données</t>
  </si>
  <si>
    <t>5. Cellule d'entrée en colonne : C8 (Volume vendu)</t>
  </si>
  <si>
    <t>→ Excel calcule le résultat net pour CHAQUE volume automatiquement</t>
  </si>
  <si>
    <t>4   TABLE DE DONNÉES À 2 VARIABLES</t>
  </si>
  <si>
    <t>Teste Prix ET Volume simultanément dans une grille</t>
  </si>
  <si>
    <t>1. Liste de prix en ligne (haut) : 40, 42, 45, 48, 50</t>
  </si>
  <si>
    <t>2. Liste de volumes en colonne (gauche) : 700, 800, 900, 1000</t>
  </si>
  <si>
    <t>3. Formule =C14 dans le coin en haut à gauche de la grille</t>
  </si>
  <si>
    <t>4. Sélectionner toute la grille</t>
  </si>
  <si>
    <t>5. Table de données → Cellule d'entrée ligne : C5 (Prix)</t>
  </si>
  <si>
    <t>Cellule d'entrée colonne : C8 (Volume)</t>
  </si>
  <si>
    <t>→ Grille complète croisant prix et volume avec le résultat net</t>
  </si>
  <si>
    <t>5   GESTIONNAIRE DE SCÉNARIOS — Sauvegarder des jeux d'hypothèses</t>
  </si>
  <si>
    <t>Ajouter → Nom : 'Pessimiste'</t>
  </si>
  <si>
    <t>Cellules variables : C5;C6;C7;C8</t>
  </si>
  <si>
    <t>Saisir les valeurs pessimistes → OK</t>
  </si>
  <si>
    <t>Répéter pour 'Réaliste' et 'Optimiste'</t>
  </si>
  <si>
    <t>→ Bouton 'Afficher' bascule instantanément entre les 3 scénarios</t>
  </si>
  <si>
    <t>→ Bouton 'Synthèse' génère un rapport comparatif automatique</t>
  </si>
  <si>
    <t>$C$5</t>
  </si>
  <si>
    <t>$C$6</t>
  </si>
  <si>
    <t>$C$7</t>
  </si>
  <si>
    <t>$C$8</t>
  </si>
  <si>
    <t>$C$14</t>
  </si>
  <si>
    <t>$C$11</t>
  </si>
  <si>
    <t>$C$12</t>
  </si>
  <si>
    <t>$C$15</t>
  </si>
  <si>
    <t>$C$16</t>
  </si>
  <si>
    <t>Pessimiste</t>
  </si>
  <si>
    <t>Créé par Flora le 13/06/2026</t>
  </si>
  <si>
    <t>Réaliste</t>
  </si>
  <si>
    <t>Optimiste</t>
  </si>
  <si>
    <t>Synthèse de scénarios</t>
  </si>
  <si>
    <t>Cellules variables :</t>
  </si>
  <si>
    <t>Valeurs actuelles :</t>
  </si>
  <si>
    <t>Cellules résultantes :</t>
  </si>
  <si>
    <t>La colonne Valeurs actuelles affiche les valeurs des cellules variables</t>
  </si>
  <si>
    <t>au moment de la création du rapport de synthèse. Les cellules variables</t>
  </si>
  <si>
    <t>de chaque scénario se situent dans les colonnes grisées.</t>
  </si>
  <si>
    <t xml:space="preserve">  MODÈLE FINANCIER — Compte de Résultat Simplifié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</si>
</sst>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#,##0\ &quot;€&quot;"/>
    <numFmt numFmtId="166" formatCode="#,##0\ &quot;unités&quot;"/>
    <numFmt numFmtId="167" formatCode="#,##0\ &quot;u.&quot;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94A3B8"/>
      <name val="Calibri"/>
    </font>
    <font>
      <b/>
      <sz val="12"/>
      <color rgb="FFF59E0B"/>
      <name val="Calibri"/>
    </font>
    <font>
      <sz val="11"/>
      <color rgb="FFF1F5F9"/>
      <name val="Calibri"/>
    </font>
    <font>
      <b/>
      <sz val="12"/>
      <color rgb="FF00C96E"/>
      <name val="Calibri"/>
    </font>
    <font>
      <b/>
      <sz val="12"/>
      <color rgb="FF0EA5E9"/>
      <name val="Calibri"/>
    </font>
    <font>
      <b/>
      <sz val="12"/>
      <color rgb="FF94A3B8"/>
      <name val="Calibri"/>
    </font>
    <font>
      <b/>
      <sz val="12"/>
      <color rgb="FF8B5CF6"/>
      <name val="Calibri"/>
    </font>
    <font>
      <b/>
      <sz val="12"/>
      <color rgb="FFF97316"/>
      <name val="Calibri"/>
    </font>
    <font>
      <b/>
      <sz val="13"/>
      <color rgb="FF00C96E"/>
      <name val="Calibri"/>
    </font>
    <font>
      <b/>
      <sz val="11"/>
      <color rgb="FF94A3B8"/>
      <name val="Calibri"/>
    </font>
    <font>
      <b/>
      <sz val="11"/>
      <color rgb="FFFFFFFF"/>
      <name val="Calibri"/>
    </font>
    <font>
      <sz val="10"/>
      <color rgb="FFF1F5F9"/>
      <name val="Calibri"/>
    </font>
    <font>
      <b/>
      <sz val="10"/>
      <color rgb="FFEF4444"/>
      <name val="Calibri"/>
    </font>
    <font>
      <b/>
      <sz val="10"/>
      <color rgb="FFF59E0B"/>
      <name val="Calibri"/>
    </font>
    <font>
      <b/>
      <sz val="10"/>
      <color rgb="FF00C96E"/>
      <name val="Calibri"/>
    </font>
    <font>
      <b/>
      <sz val="10"/>
      <color rgb="FFF1F5F9"/>
      <name val="Calibri"/>
    </font>
    <font>
      <b/>
      <sz val="11"/>
      <color rgb="FFEF4444"/>
      <name val="Calibri"/>
    </font>
    <font>
      <b/>
      <sz val="11"/>
      <color rgb="FFF59E0B"/>
      <name val="Calibri"/>
    </font>
    <font>
      <b/>
      <sz val="11"/>
      <color rgb="FF00C96E"/>
      <name val="Calibri"/>
    </font>
    <font>
      <b/>
      <sz val="15"/>
      <color rgb="FFFFFFFF"/>
      <name val="Calibri"/>
    </font>
    <font>
      <b/>
      <i/>
      <sz val="11"/>
      <color rgb="FF00C96E"/>
      <name val="Calibri"/>
    </font>
    <font>
      <b/>
      <i/>
      <sz val="11"/>
      <color rgb="FF0EA5E9"/>
      <name val="Calibri"/>
    </font>
    <font>
      <b/>
      <i/>
      <sz val="11"/>
      <color rgb="FF8B5CF6"/>
      <name val="Calibri"/>
    </font>
    <font>
      <b/>
      <i/>
      <sz val="11"/>
      <color rgb="FFF97316"/>
      <name val="Calibri"/>
    </font>
    <font>
      <b/>
      <i/>
      <sz val="11"/>
      <color rgb="FFF59E0B"/>
      <name val="Calibri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52032"/>
      </patternFill>
    </fill>
    <fill>
      <patternFill patternType="solid">
        <fgColor rgb="FF2A2200"/>
      </patternFill>
    </fill>
    <fill>
      <patternFill patternType="solid">
        <fgColor rgb="FF1E293B"/>
      </patternFill>
    </fill>
    <fill>
      <patternFill patternType="solid">
        <fgColor rgb="FF1E3A5F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/>
      <right/>
      <top/>
      <bottom style="medium">
        <color rgb="FF00C96E"/>
      </bottom>
      <diagonal/>
    </border>
    <border>
      <left style="thin">
        <color rgb="FF334155"/>
      </left>
      <right style="thin">
        <color rgb="FF334155"/>
      </right>
      <top/>
      <bottom/>
      <diagonal/>
    </border>
    <border>
      <left/>
      <right/>
      <top style="medium">
        <color rgb="FF00C96E"/>
      </top>
      <bottom style="medium">
        <color rgb="FF00C96E"/>
      </bottom>
      <diagonal/>
    </border>
    <border>
      <left/>
      <right/>
      <top/>
      <bottom style="medium">
        <color rgb="FF94A3B8"/>
      </bottom>
      <diagonal/>
    </border>
    <border>
      <left/>
      <right/>
      <top/>
      <bottom style="medium">
        <color rgb="FFEF4444"/>
      </bottom>
      <diagonal/>
    </border>
    <border>
      <left style="medium">
        <color rgb="FF00C96E"/>
      </left>
      <right/>
      <top/>
      <bottom/>
      <diagonal/>
    </border>
    <border>
      <left/>
      <right style="medium">
        <color rgb="FF00C96E"/>
      </right>
      <top/>
      <bottom/>
      <diagonal/>
    </border>
    <border>
      <left/>
      <right/>
      <top/>
      <bottom style="medium">
        <color rgb="FF0EA5E9"/>
      </bottom>
      <diagonal/>
    </border>
    <border>
      <left style="medium">
        <color rgb="FF0EA5E9"/>
      </left>
      <right/>
      <top/>
      <bottom/>
      <diagonal/>
    </border>
    <border>
      <left/>
      <right style="medium">
        <color rgb="FF0EA5E9"/>
      </right>
      <top/>
      <bottom/>
      <diagonal/>
    </border>
    <border>
      <left/>
      <right/>
      <top/>
      <bottom style="medium">
        <color rgb="FF8B5CF6"/>
      </bottom>
      <diagonal/>
    </border>
    <border>
      <left style="medium">
        <color rgb="FF8B5CF6"/>
      </left>
      <right/>
      <top/>
      <bottom/>
      <diagonal/>
    </border>
    <border>
      <left/>
      <right style="medium">
        <color rgb="FF8B5CF6"/>
      </right>
      <top/>
      <bottom/>
      <diagonal/>
    </border>
    <border>
      <left/>
      <right/>
      <top/>
      <bottom style="medium">
        <color rgb="FFF97316"/>
      </bottom>
      <diagonal/>
    </border>
    <border>
      <left style="medium">
        <color rgb="FFF97316"/>
      </left>
      <right/>
      <top/>
      <bottom/>
      <diagonal/>
    </border>
    <border>
      <left/>
      <right style="medium">
        <color rgb="FFF97316"/>
      </right>
      <top/>
      <bottom/>
      <diagonal/>
    </border>
    <border>
      <left style="medium">
        <color rgb="FFF59E0B"/>
      </left>
      <right/>
      <top/>
      <bottom/>
      <diagonal/>
    </border>
    <border>
      <left/>
      <right style="medium">
        <color rgb="FFF59E0B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3" borderId="0" xfId="0" applyFont="1" applyFill="1" applyAlignment="1">
      <alignment horizontal="left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165" fontId="3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5" fontId="6" fillId="5" borderId="4" xfId="0" applyNumberFormat="1" applyFont="1" applyFill="1" applyBorder="1" applyAlignment="1">
      <alignment horizontal="center" vertical="center"/>
    </xf>
    <xf numFmtId="165" fontId="7" fillId="3" borderId="4" xfId="0" applyNumberFormat="1" applyFont="1" applyFill="1" applyBorder="1" applyAlignment="1">
      <alignment horizontal="center" vertical="center"/>
    </xf>
    <xf numFmtId="165" fontId="8" fillId="5" borderId="4" xfId="0" applyNumberFormat="1" applyFont="1" applyFill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166" fontId="3" fillId="5" borderId="4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164" fontId="14" fillId="3" borderId="0" xfId="0" applyNumberFormat="1" applyFont="1" applyFill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164" fontId="14" fillId="5" borderId="0" xfId="0" applyNumberFormat="1" applyFont="1" applyFill="1" applyAlignment="1">
      <alignment horizontal="center" vertical="center"/>
    </xf>
    <xf numFmtId="164" fontId="15" fillId="5" borderId="0" xfId="0" applyNumberFormat="1" applyFont="1" applyFill="1" applyAlignment="1">
      <alignment horizontal="center" vertical="center"/>
    </xf>
    <xf numFmtId="164" fontId="16" fillId="5" borderId="0" xfId="0" applyNumberFormat="1" applyFont="1" applyFill="1" applyAlignment="1">
      <alignment horizontal="center" vertical="center"/>
    </xf>
    <xf numFmtId="165" fontId="14" fillId="3" borderId="0" xfId="0" applyNumberFormat="1" applyFont="1" applyFill="1" applyAlignment="1">
      <alignment horizontal="center" vertical="center"/>
    </xf>
    <xf numFmtId="165" fontId="15" fillId="3" borderId="0" xfId="0" applyNumberFormat="1" applyFont="1" applyFill="1" applyAlignment="1">
      <alignment horizontal="center" vertical="center"/>
    </xf>
    <xf numFmtId="165" fontId="16" fillId="3" borderId="0" xfId="0" applyNumberFormat="1" applyFont="1" applyFill="1" applyAlignment="1">
      <alignment horizontal="center" vertical="center"/>
    </xf>
    <xf numFmtId="3" fontId="14" fillId="5" borderId="0" xfId="0" applyNumberFormat="1" applyFont="1" applyFill="1" applyAlignment="1">
      <alignment horizontal="center" vertical="center"/>
    </xf>
    <xf numFmtId="3" fontId="15" fillId="5" borderId="0" xfId="0" applyNumberFormat="1" applyFont="1" applyFill="1" applyAlignment="1">
      <alignment horizontal="center" vertical="center"/>
    </xf>
    <xf numFmtId="3" fontId="16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164" fontId="18" fillId="5" borderId="0" xfId="0" applyNumberFormat="1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center" vertical="center"/>
    </xf>
    <xf numFmtId="164" fontId="20" fillId="5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165" fontId="18" fillId="3" borderId="0" xfId="0" applyNumberFormat="1" applyFont="1" applyFill="1" applyAlignment="1">
      <alignment horizontal="center" vertical="center"/>
    </xf>
    <xf numFmtId="165" fontId="19" fillId="3" borderId="0" xfId="0" applyNumberFormat="1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165" fontId="18" fillId="5" borderId="0" xfId="0" applyNumberFormat="1" applyFont="1" applyFill="1" applyAlignment="1">
      <alignment horizontal="center" vertical="center"/>
    </xf>
    <xf numFmtId="165" fontId="19" fillId="5" borderId="0" xfId="0" applyNumberFormat="1" applyFont="1" applyFill="1" applyAlignment="1">
      <alignment horizontal="center" vertical="center"/>
    </xf>
    <xf numFmtId="165" fontId="20" fillId="5" borderId="0" xfId="0" applyNumberFormat="1" applyFont="1" applyFill="1" applyAlignment="1">
      <alignment horizontal="center" vertical="center"/>
    </xf>
    <xf numFmtId="167" fontId="18" fillId="3" borderId="0" xfId="0" applyNumberFormat="1" applyFont="1" applyFill="1" applyAlignment="1">
      <alignment horizontal="center" vertical="center"/>
    </xf>
    <xf numFmtId="167" fontId="19" fillId="3" borderId="0" xfId="0" applyNumberFormat="1" applyFont="1" applyFill="1" applyAlignment="1">
      <alignment horizontal="center" vertical="center"/>
    </xf>
    <xf numFmtId="167" fontId="20" fillId="3" borderId="0" xfId="0" applyNumberFormat="1" applyFont="1" applyFill="1" applyAlignment="1">
      <alignment horizontal="center" vertical="center"/>
    </xf>
    <xf numFmtId="0" fontId="0" fillId="3" borderId="8" xfId="0" applyFill="1" applyBorder="1"/>
    <xf numFmtId="0" fontId="4" fillId="3" borderId="9" xfId="0" applyFont="1" applyFill="1" applyBorder="1" applyAlignment="1">
      <alignment horizontal="left" vertical="center" wrapText="1"/>
    </xf>
    <xf numFmtId="0" fontId="0" fillId="2" borderId="0" xfId="0" applyFill="1"/>
    <xf numFmtId="0" fontId="4" fillId="2" borderId="0" xfId="0" applyFont="1" applyFill="1" applyAlignment="1">
      <alignment horizontal="left" vertical="center" wrapText="1"/>
    </xf>
    <xf numFmtId="0" fontId="22" fillId="3" borderId="9" xfId="0" applyFont="1" applyFill="1" applyBorder="1" applyAlignment="1">
      <alignment horizontal="left" vertical="center" wrapText="1"/>
    </xf>
    <xf numFmtId="0" fontId="0" fillId="3" borderId="11" xfId="0" applyFill="1" applyBorder="1"/>
    <xf numFmtId="0" fontId="4" fillId="3" borderId="12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left" vertical="center" wrapText="1"/>
    </xf>
    <xf numFmtId="0" fontId="0" fillId="3" borderId="14" xfId="0" applyFill="1" applyBorder="1"/>
    <xf numFmtId="0" fontId="4" fillId="3" borderId="15" xfId="0" applyFont="1" applyFill="1" applyBorder="1" applyAlignment="1">
      <alignment horizontal="left" vertical="center" wrapText="1"/>
    </xf>
    <xf numFmtId="0" fontId="24" fillId="3" borderId="15" xfId="0" applyFont="1" applyFill="1" applyBorder="1" applyAlignment="1">
      <alignment horizontal="left" vertical="center" wrapText="1"/>
    </xf>
    <xf numFmtId="0" fontId="0" fillId="3" borderId="17" xfId="0" applyFill="1" applyBorder="1"/>
    <xf numFmtId="0" fontId="4" fillId="3" borderId="18" xfId="0" applyFont="1" applyFill="1" applyBorder="1" applyAlignment="1">
      <alignment horizontal="left" vertical="center" wrapText="1"/>
    </xf>
    <xf numFmtId="0" fontId="25" fillId="3" borderId="18" xfId="0" applyFont="1" applyFill="1" applyBorder="1" applyAlignment="1">
      <alignment horizontal="left" vertical="center" wrapText="1"/>
    </xf>
    <xf numFmtId="0" fontId="0" fillId="3" borderId="19" xfId="0" applyFill="1" applyBorder="1"/>
    <xf numFmtId="0" fontId="4" fillId="3" borderId="20" xfId="0" applyFont="1" applyFill="1" applyBorder="1" applyAlignment="1">
      <alignment horizontal="left" vertical="center" wrapText="1"/>
    </xf>
    <xf numFmtId="0" fontId="26" fillId="3" borderId="20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2" borderId="13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9" fillId="2" borderId="16" xfId="0" applyFont="1" applyFill="1" applyBorder="1" applyAlignment="1">
      <alignment horizontal="left" vertical="center"/>
    </xf>
    <xf numFmtId="165" fontId="0" fillId="0" borderId="0" xfId="0" applyNumberForma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165" fontId="0" fillId="0" borderId="0" xfId="0" applyNumberFormat="1" applyFill="1" applyBorder="1" applyAlignment="1"/>
    <xf numFmtId="3" fontId="0" fillId="0" borderId="0" xfId="0" applyNumberFormat="1" applyFill="1" applyBorder="1" applyAlignment="1"/>
    <xf numFmtId="166" fontId="0" fillId="0" borderId="0" xfId="0" applyNumberFormat="1" applyFill="1" applyBorder="1" applyAlignment="1"/>
    <xf numFmtId="166" fontId="0" fillId="0" borderId="22" xfId="0" applyNumberFormat="1" applyFill="1" applyBorder="1" applyAlignment="1"/>
    <xf numFmtId="0" fontId="27" fillId="7" borderId="23" xfId="0" applyFont="1" applyFill="1" applyBorder="1" applyAlignment="1">
      <alignment horizontal="left"/>
    </xf>
    <xf numFmtId="0" fontId="27" fillId="7" borderId="21" xfId="0" applyFont="1" applyFill="1" applyBorder="1" applyAlignment="1">
      <alignment horizontal="left"/>
    </xf>
    <xf numFmtId="0" fontId="0" fillId="0" borderId="24" xfId="0" applyFill="1" applyBorder="1" applyAlignment="1"/>
    <xf numFmtId="0" fontId="28" fillId="8" borderId="0" xfId="0" applyFont="1" applyFill="1" applyBorder="1" applyAlignment="1">
      <alignment horizontal="left"/>
    </xf>
    <xf numFmtId="0" fontId="29" fillId="8" borderId="24" xfId="0" applyFont="1" applyFill="1" applyBorder="1" applyAlignment="1">
      <alignment horizontal="left"/>
    </xf>
    <xf numFmtId="0" fontId="28" fillId="8" borderId="22" xfId="0" applyFont="1" applyFill="1" applyBorder="1" applyAlignment="1">
      <alignment horizontal="left"/>
    </xf>
    <xf numFmtId="0" fontId="30" fillId="7" borderId="21" xfId="0" applyFont="1" applyFill="1" applyBorder="1" applyAlignment="1">
      <alignment horizontal="right"/>
    </xf>
    <xf numFmtId="0" fontId="30" fillId="7" borderId="23" xfId="0" applyFont="1" applyFill="1" applyBorder="1" applyAlignment="1">
      <alignment horizontal="right"/>
    </xf>
    <xf numFmtId="164" fontId="0" fillId="9" borderId="0" xfId="0" applyNumberFormat="1" applyFill="1" applyBorder="1" applyAlignment="1"/>
    <xf numFmtId="165" fontId="0" fillId="9" borderId="0" xfId="0" applyNumberFormat="1" applyFill="1" applyBorder="1" applyAlignment="1"/>
    <xf numFmtId="3" fontId="0" fillId="9" borderId="0" xfId="0" applyNumberFormat="1" applyFill="1" applyBorder="1" applyAlignment="1"/>
    <xf numFmtId="0" fontId="31" fillId="0" borderId="0" xfId="0" applyFont="1" applyFill="1" applyBorder="1" applyAlignment="1">
      <alignment vertical="top" wrapText="1"/>
    </xf>
    <xf numFmtId="0" fontId="32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sz val="13"/>
        <color rgb="FFEF4444"/>
      </font>
      <fill>
        <patternFill patternType="solid">
          <fgColor rgb="FF2A0F0F"/>
        </patternFill>
      </fill>
    </dxf>
    <dxf>
      <font>
        <b/>
        <sz val="13"/>
        <color rgb="FF00C96E"/>
      </font>
      <fill>
        <patternFill patternType="solid">
          <fgColor rgb="FF0F2A1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FR"/>
              <a:t>Résultat Net par Scénario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SCÉNARIOS!$C$11</c:f>
              <c:strCache>
                <c:ptCount val="1"/>
                <c:pt idx="0">
                  <c:v>PESSIMISTE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SCÉNARIOS!$C$11:$D$11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7-4E6A-B528-7665AA6D25E0}"/>
            </c:ext>
          </c:extLst>
        </c:ser>
        <c:ser>
          <c:idx val="1"/>
          <c:order val="1"/>
          <c:tx>
            <c:strRef>
              <c:f>SCÉNARIOS!$C$12</c:f>
              <c:strCache>
                <c:ptCount val="1"/>
                <c:pt idx="0">
                  <c:v>10,00 €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SCÉNARIOS!$C$12:$D$12</c:f>
              <c:numCache>
                <c:formatCode>#,##0.00\ "€"</c:formatCode>
                <c:ptCount val="2"/>
                <c:pt idx="0">
                  <c:v>10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7-4E6A-B528-7665AA6D25E0}"/>
            </c:ext>
          </c:extLst>
        </c:ser>
        <c:ser>
          <c:idx val="2"/>
          <c:order val="2"/>
          <c:tx>
            <c:strRef>
              <c:f>SCÉNARIOS!$C$13</c:f>
              <c:strCache>
                <c:ptCount val="1"/>
                <c:pt idx="0">
                  <c:v>7 000 €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SCÉNARIOS!$C$13:$D$13</c:f>
              <c:numCache>
                <c:formatCode>#,##0\ "€"</c:formatCode>
                <c:ptCount val="2"/>
                <c:pt idx="0">
                  <c:v>7000</c:v>
                </c:pt>
                <c:pt idx="1">
                  <c:v>15300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C7-4E6A-B528-7665AA6D25E0}"/>
            </c:ext>
          </c:extLst>
        </c:ser>
        <c:ser>
          <c:idx val="3"/>
          <c:order val="3"/>
          <c:tx>
            <c:strRef>
              <c:f>SCÉNARIOS!$C$14</c:f>
              <c:strCache>
                <c:ptCount val="1"/>
                <c:pt idx="0">
                  <c:v>-6 000 €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SCÉNARIOS!$C$14:$D$14</c:f>
              <c:numCache>
                <c:formatCode>#,##0\ "€"</c:formatCode>
                <c:ptCount val="2"/>
                <c:pt idx="0">
                  <c:v>-6000</c:v>
                </c:pt>
                <c:pt idx="1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C7-4E6A-B528-7665AA6D2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F32D-2595-4244-AC32-3C3773B6DA47}">
  <sheetPr>
    <outlinePr summaryBelow="0"/>
  </sheetPr>
  <dimension ref="B1:G18"/>
  <sheetViews>
    <sheetView showGridLines="0" tabSelected="1" workbookViewId="0"/>
  </sheetViews>
  <sheetFormatPr baseColWidth="10" defaultRowHeight="14.4" outlineLevelRow="1" outlineLevelCol="1" x14ac:dyDescent="0.3"/>
  <cols>
    <col min="3" max="3" width="6.109375" bestFit="1" customWidth="1"/>
    <col min="4" max="7" width="15" bestFit="1" customWidth="1" outlineLevel="1"/>
  </cols>
  <sheetData>
    <row r="1" spans="2:7" ht="15" thickBot="1" x14ac:dyDescent="0.35"/>
    <row r="2" spans="2:7" ht="15.6" x14ac:dyDescent="0.3">
      <c r="B2" s="79" t="s">
        <v>76</v>
      </c>
      <c r="C2" s="79"/>
      <c r="D2" s="84"/>
      <c r="E2" s="84"/>
      <c r="F2" s="84"/>
      <c r="G2" s="84"/>
    </row>
    <row r="3" spans="2:7" ht="15.6" collapsed="1" x14ac:dyDescent="0.3">
      <c r="B3" s="78"/>
      <c r="C3" s="78"/>
      <c r="D3" s="85" t="s">
        <v>78</v>
      </c>
      <c r="E3" s="85" t="s">
        <v>72</v>
      </c>
      <c r="F3" s="85" t="s">
        <v>74</v>
      </c>
      <c r="G3" s="85" t="s">
        <v>75</v>
      </c>
    </row>
    <row r="4" spans="2:7" ht="20.399999999999999" hidden="1" outlineLevel="1" x14ac:dyDescent="0.3">
      <c r="B4" s="81"/>
      <c r="C4" s="81"/>
      <c r="D4" s="72"/>
      <c r="E4" s="89" t="s">
        <v>73</v>
      </c>
      <c r="F4" s="89" t="s">
        <v>73</v>
      </c>
      <c r="G4" s="89" t="s">
        <v>73</v>
      </c>
    </row>
    <row r="5" spans="2:7" x14ac:dyDescent="0.3">
      <c r="B5" s="82" t="s">
        <v>77</v>
      </c>
      <c r="C5" s="82"/>
      <c r="D5" s="80"/>
      <c r="E5" s="80"/>
      <c r="F5" s="80"/>
      <c r="G5" s="80"/>
    </row>
    <row r="6" spans="2:7" outlineLevel="1" x14ac:dyDescent="0.3">
      <c r="B6" s="81"/>
      <c r="C6" s="81" t="s">
        <v>63</v>
      </c>
      <c r="D6" s="73">
        <v>50</v>
      </c>
      <c r="E6" s="86">
        <v>40</v>
      </c>
      <c r="F6" s="86">
        <v>45</v>
      </c>
      <c r="G6" s="86">
        <v>50</v>
      </c>
    </row>
    <row r="7" spans="2:7" outlineLevel="1" x14ac:dyDescent="0.3">
      <c r="B7" s="81"/>
      <c r="C7" s="81" t="s">
        <v>64</v>
      </c>
      <c r="D7" s="73">
        <v>26</v>
      </c>
      <c r="E7" s="86">
        <v>30</v>
      </c>
      <c r="F7" s="86">
        <v>28</v>
      </c>
      <c r="G7" s="86">
        <v>26</v>
      </c>
    </row>
    <row r="8" spans="2:7" outlineLevel="1" x14ac:dyDescent="0.3">
      <c r="B8" s="81"/>
      <c r="C8" s="81" t="s">
        <v>65</v>
      </c>
      <c r="D8" s="74">
        <v>11000</v>
      </c>
      <c r="E8" s="87">
        <v>13000</v>
      </c>
      <c r="F8" s="87">
        <v>12000</v>
      </c>
      <c r="G8" s="87">
        <v>11000</v>
      </c>
    </row>
    <row r="9" spans="2:7" outlineLevel="1" x14ac:dyDescent="0.3">
      <c r="B9" s="81"/>
      <c r="C9" s="81" t="s">
        <v>66</v>
      </c>
      <c r="D9" s="75">
        <v>1100</v>
      </c>
      <c r="E9" s="88">
        <v>700</v>
      </c>
      <c r="F9" s="88">
        <v>900</v>
      </c>
      <c r="G9" s="88">
        <v>1100</v>
      </c>
    </row>
    <row r="10" spans="2:7" x14ac:dyDescent="0.3">
      <c r="B10" s="82" t="s">
        <v>79</v>
      </c>
      <c r="C10" s="82"/>
      <c r="D10" s="80"/>
      <c r="E10" s="80"/>
      <c r="F10" s="80"/>
      <c r="G10" s="80"/>
    </row>
    <row r="11" spans="2:7" outlineLevel="1" x14ac:dyDescent="0.3">
      <c r="B11" s="81"/>
      <c r="C11" s="81" t="s">
        <v>67</v>
      </c>
      <c r="D11" s="74">
        <v>15400</v>
      </c>
      <c r="E11" s="74">
        <v>-6000</v>
      </c>
      <c r="F11" s="74">
        <v>3300</v>
      </c>
      <c r="G11" s="74">
        <v>15400</v>
      </c>
    </row>
    <row r="12" spans="2:7" outlineLevel="1" x14ac:dyDescent="0.3">
      <c r="B12" s="81"/>
      <c r="C12" s="81" t="s">
        <v>68</v>
      </c>
      <c r="D12" s="73">
        <v>24</v>
      </c>
      <c r="E12" s="73">
        <v>10</v>
      </c>
      <c r="F12" s="73">
        <v>17</v>
      </c>
      <c r="G12" s="73">
        <v>24</v>
      </c>
    </row>
    <row r="13" spans="2:7" outlineLevel="1" x14ac:dyDescent="0.3">
      <c r="B13" s="81"/>
      <c r="C13" s="81" t="s">
        <v>69</v>
      </c>
      <c r="D13" s="74">
        <v>26400</v>
      </c>
      <c r="E13" s="74">
        <v>7000</v>
      </c>
      <c r="F13" s="74">
        <v>15300</v>
      </c>
      <c r="G13" s="74">
        <v>26400</v>
      </c>
    </row>
    <row r="14" spans="2:7" outlineLevel="1" x14ac:dyDescent="0.3">
      <c r="B14" s="81"/>
      <c r="C14" s="81" t="s">
        <v>70</v>
      </c>
      <c r="D14" s="76">
        <v>458.33333333333297</v>
      </c>
      <c r="E14" s="76">
        <v>1300</v>
      </c>
      <c r="F14" s="76">
        <v>705.88235294117601</v>
      </c>
      <c r="G14" s="76">
        <v>458.33333333333297</v>
      </c>
    </row>
    <row r="15" spans="2:7" ht="15" outlineLevel="1" thickBot="1" x14ac:dyDescent="0.35">
      <c r="B15" s="83"/>
      <c r="C15" s="83" t="s">
        <v>71</v>
      </c>
      <c r="D15" s="77">
        <v>641.66666666666697</v>
      </c>
      <c r="E15" s="77">
        <v>-600</v>
      </c>
      <c r="F15" s="77">
        <v>194.11764705882399</v>
      </c>
      <c r="G15" s="77">
        <v>641.66666666666697</v>
      </c>
    </row>
    <row r="16" spans="2:7" x14ac:dyDescent="0.3">
      <c r="B16" t="s">
        <v>80</v>
      </c>
    </row>
    <row r="17" spans="2:2" x14ac:dyDescent="0.3">
      <c r="B17" t="s">
        <v>81</v>
      </c>
    </row>
    <row r="18" spans="2:2" x14ac:dyDescent="0.3">
      <c r="B18" t="s">
        <v>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C96E"/>
  </sheetPr>
  <dimension ref="B1:M18"/>
  <sheetViews>
    <sheetView showGridLines="0" workbookViewId="0">
      <selection activeCell="E8" sqref="E8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4" width="16" customWidth="1"/>
    <col min="5" max="5" width="8.6640625" customWidth="1"/>
  </cols>
  <sheetData>
    <row r="1" spans="2:13" ht="30" customHeight="1" x14ac:dyDescent="0.3">
      <c r="B1" s="90" t="s">
        <v>83</v>
      </c>
      <c r="C1" s="62"/>
      <c r="D1" s="62"/>
      <c r="F1" s="71">
        <f>C14</f>
        <v>15400</v>
      </c>
      <c r="H1" s="71">
        <f>C14</f>
        <v>15400</v>
      </c>
      <c r="I1">
        <v>40</v>
      </c>
      <c r="J1">
        <v>42</v>
      </c>
      <c r="K1">
        <v>45</v>
      </c>
      <c r="L1">
        <v>48</v>
      </c>
      <c r="M1">
        <v>50</v>
      </c>
    </row>
    <row r="2" spans="2:13" ht="16.05" customHeight="1" x14ac:dyDescent="0.3">
      <c r="B2" s="66" t="s">
        <v>0</v>
      </c>
      <c r="C2" s="62"/>
      <c r="D2" s="62"/>
      <c r="E2">
        <v>500</v>
      </c>
      <c r="F2">
        <f t="dataTable" ref="F2:F6" dt2D="0" dtr="0" r1="C8" ca="1"/>
        <v>1000</v>
      </c>
      <c r="H2">
        <v>700</v>
      </c>
      <c r="I2">
        <f t="dataTable" ref="I2:M5" dt2D="1" dtr="1" r1="C5" r2="C8"/>
        <v>-1200</v>
      </c>
      <c r="J2">
        <v>200</v>
      </c>
      <c r="K2">
        <v>2300</v>
      </c>
      <c r="L2">
        <v>4400</v>
      </c>
      <c r="M2">
        <v>5800</v>
      </c>
    </row>
    <row r="3" spans="2:13" x14ac:dyDescent="0.3">
      <c r="E3">
        <v>700</v>
      </c>
      <c r="F3">
        <v>5800</v>
      </c>
      <c r="H3">
        <v>800</v>
      </c>
      <c r="I3">
        <v>200</v>
      </c>
      <c r="J3">
        <v>1800</v>
      </c>
      <c r="K3">
        <v>4200</v>
      </c>
      <c r="L3">
        <v>6600</v>
      </c>
      <c r="M3">
        <v>8200</v>
      </c>
    </row>
    <row r="4" spans="2:13" ht="22.05" customHeight="1" x14ac:dyDescent="0.3">
      <c r="B4" s="64" t="s">
        <v>1</v>
      </c>
      <c r="C4" s="62"/>
      <c r="D4" s="62"/>
      <c r="E4">
        <v>900</v>
      </c>
      <c r="F4">
        <v>10600</v>
      </c>
      <c r="H4">
        <v>900</v>
      </c>
      <c r="I4">
        <v>1600</v>
      </c>
      <c r="J4">
        <v>3400</v>
      </c>
      <c r="K4">
        <v>6100</v>
      </c>
      <c r="L4">
        <v>8800</v>
      </c>
      <c r="M4">
        <v>10600</v>
      </c>
    </row>
    <row r="5" spans="2:13" ht="24" customHeight="1" x14ac:dyDescent="0.3">
      <c r="B5" s="1" t="s">
        <v>2</v>
      </c>
      <c r="C5" s="2">
        <v>50</v>
      </c>
      <c r="E5">
        <v>1100</v>
      </c>
      <c r="F5">
        <v>15400</v>
      </c>
      <c r="H5">
        <v>1000</v>
      </c>
      <c r="I5">
        <v>3000</v>
      </c>
      <c r="J5">
        <v>5000</v>
      </c>
      <c r="K5">
        <v>8000</v>
      </c>
      <c r="L5">
        <v>11000</v>
      </c>
      <c r="M5">
        <v>13000</v>
      </c>
    </row>
    <row r="6" spans="2:13" ht="24" customHeight="1" x14ac:dyDescent="0.3">
      <c r="B6" s="3" t="s">
        <v>3</v>
      </c>
      <c r="C6" s="2">
        <v>26</v>
      </c>
      <c r="E6">
        <v>1300</v>
      </c>
      <c r="F6">
        <v>20200</v>
      </c>
    </row>
    <row r="7" spans="2:13" ht="24" customHeight="1" x14ac:dyDescent="0.3">
      <c r="B7" s="1" t="s">
        <v>4</v>
      </c>
      <c r="C7" s="4">
        <v>11000</v>
      </c>
    </row>
    <row r="8" spans="2:13" ht="24" customHeight="1" x14ac:dyDescent="0.3">
      <c r="B8" s="3" t="s">
        <v>5</v>
      </c>
      <c r="C8" s="5">
        <v>1100</v>
      </c>
    </row>
    <row r="10" spans="2:13" ht="22.05" customHeight="1" x14ac:dyDescent="0.3">
      <c r="B10" s="61" t="s">
        <v>6</v>
      </c>
      <c r="C10" s="62"/>
      <c r="D10" s="62"/>
    </row>
    <row r="11" spans="2:13" ht="22.05" customHeight="1" x14ac:dyDescent="0.3">
      <c r="B11" s="1" t="s">
        <v>7</v>
      </c>
      <c r="C11" s="6">
        <f>C5-C6</f>
        <v>24</v>
      </c>
    </row>
    <row r="12" spans="2:13" ht="22.05" customHeight="1" x14ac:dyDescent="0.3">
      <c r="B12" s="3" t="s">
        <v>8</v>
      </c>
      <c r="C12" s="7">
        <f>C11*C8</f>
        <v>26400</v>
      </c>
    </row>
    <row r="13" spans="2:13" ht="22.05" customHeight="1" x14ac:dyDescent="0.3">
      <c r="B13" s="1" t="s">
        <v>9</v>
      </c>
      <c r="C13" s="8">
        <f>C7</f>
        <v>11000</v>
      </c>
    </row>
    <row r="14" spans="2:13" ht="22.05" customHeight="1" x14ac:dyDescent="0.3">
      <c r="B14" s="3" t="s">
        <v>10</v>
      </c>
      <c r="C14" s="9">
        <f>C12-C13</f>
        <v>15400</v>
      </c>
    </row>
    <row r="15" spans="2:13" ht="22.05" customHeight="1" x14ac:dyDescent="0.3">
      <c r="B15" s="1" t="s">
        <v>11</v>
      </c>
      <c r="C15" s="10">
        <f>C7/C11</f>
        <v>458.33333333333331</v>
      </c>
    </row>
    <row r="16" spans="2:13" ht="22.05" customHeight="1" x14ac:dyDescent="0.3">
      <c r="B16" s="3" t="s">
        <v>12</v>
      </c>
      <c r="C16" s="11">
        <f>C8-C15</f>
        <v>641.66666666666674</v>
      </c>
    </row>
    <row r="18" spans="2:4" ht="25.95" customHeight="1" x14ac:dyDescent="0.3">
      <c r="B18" s="65"/>
      <c r="C18" s="62"/>
      <c r="D18" s="62"/>
    </row>
  </sheetData>
  <scenarios current="2" show="2" sqref="C14 C11 C12 C15 C16">
    <scenario name="Pessimiste" locked="1" count="4" user="Flora" comment="Créé par Flora le 13/06/2026">
      <inputCells r="C5" val="40" numFmtId="164"/>
      <inputCells r="C6" val="30" numFmtId="164"/>
      <inputCells r="C7" val="13000" numFmtId="165"/>
      <inputCells r="C8" val="700" numFmtId="3"/>
    </scenario>
    <scenario name="Réaliste" locked="1" count="4" user="Flora" comment="Créé par Flora le 13/06/2026">
      <inputCells r="C5" val="45" numFmtId="164"/>
      <inputCells r="C6" val="28" numFmtId="164"/>
      <inputCells r="C7" val="12000" numFmtId="165"/>
      <inputCells r="C8" val="900" numFmtId="3"/>
    </scenario>
    <scenario name="Optimiste" locked="1" count="4" user="Flora" comment="Créé par Flora le 13/06/2026">
      <inputCells r="C5" val="50" numFmtId="164"/>
      <inputCells r="C6" val="26" numFmtId="164"/>
      <inputCells r="C7" val="11000" numFmtId="165"/>
      <inputCells r="C8" val="1100" numFmtId="3"/>
    </scenario>
  </scenarios>
  <mergeCells count="5">
    <mergeCell ref="B10:D10"/>
    <mergeCell ref="B1:D1"/>
    <mergeCell ref="B4:D4"/>
    <mergeCell ref="B18:D18"/>
    <mergeCell ref="B2:D2"/>
  </mergeCells>
  <conditionalFormatting sqref="B18:D18">
    <cfRule type="cellIs" dxfId="1" priority="3" operator="equal">
      <formula>"✓ RENTABLE"</formula>
    </cfRule>
    <cfRule type="cellIs" dxfId="0" priority="4" operator="equal">
      <formula>"✗ NON RENTABLE"</formula>
    </cfRule>
  </conditionalFormatting>
  <conditionalFormatting sqref="I2:M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A5E9"/>
  </sheetPr>
  <dimension ref="B1:F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26" customWidth="1"/>
    <col min="3" max="6" width="15" customWidth="1"/>
    <col min="7" max="7" width="2" customWidth="1"/>
  </cols>
  <sheetData>
    <row r="1" spans="2:6" ht="30" customHeight="1" x14ac:dyDescent="0.3">
      <c r="B1" s="63" t="s">
        <v>13</v>
      </c>
      <c r="C1" s="62"/>
      <c r="D1" s="62"/>
      <c r="E1" s="62"/>
      <c r="F1" s="62"/>
    </row>
    <row r="2" spans="2:6" ht="16.05" customHeight="1" x14ac:dyDescent="0.3">
      <c r="B2" s="66" t="s">
        <v>14</v>
      </c>
      <c r="C2" s="62"/>
      <c r="D2" s="62"/>
      <c r="E2" s="62"/>
      <c r="F2" s="62"/>
    </row>
    <row r="4" spans="2:6" ht="24" customHeight="1" x14ac:dyDescent="0.3">
      <c r="B4" s="12" t="s">
        <v>15</v>
      </c>
      <c r="C4" s="13" t="s">
        <v>16</v>
      </c>
      <c r="D4" s="14" t="s">
        <v>17</v>
      </c>
      <c r="E4" s="15" t="s">
        <v>18</v>
      </c>
    </row>
    <row r="5" spans="2:6" ht="19.95" customHeight="1" x14ac:dyDescent="0.3">
      <c r="B5" s="16" t="s">
        <v>2</v>
      </c>
      <c r="C5" s="17">
        <v>40</v>
      </c>
      <c r="D5" s="18">
        <v>45</v>
      </c>
      <c r="E5" s="19">
        <v>50</v>
      </c>
    </row>
    <row r="6" spans="2:6" ht="19.95" customHeight="1" x14ac:dyDescent="0.3">
      <c r="B6" s="20" t="s">
        <v>3</v>
      </c>
      <c r="C6" s="21">
        <v>30</v>
      </c>
      <c r="D6" s="22">
        <v>28</v>
      </c>
      <c r="E6" s="23">
        <v>26</v>
      </c>
    </row>
    <row r="7" spans="2:6" ht="19.95" customHeight="1" x14ac:dyDescent="0.3">
      <c r="B7" s="16" t="s">
        <v>4</v>
      </c>
      <c r="C7" s="24">
        <v>13000</v>
      </c>
      <c r="D7" s="25">
        <v>12000</v>
      </c>
      <c r="E7" s="26">
        <v>11000</v>
      </c>
    </row>
    <row r="8" spans="2:6" ht="19.95" customHeight="1" x14ac:dyDescent="0.3">
      <c r="B8" s="20" t="s">
        <v>5</v>
      </c>
      <c r="C8" s="27">
        <v>700</v>
      </c>
      <c r="D8" s="28">
        <v>900</v>
      </c>
      <c r="E8" s="29">
        <v>1100</v>
      </c>
    </row>
    <row r="10" spans="2:6" ht="22.05" customHeight="1" x14ac:dyDescent="0.3">
      <c r="B10" s="61" t="s">
        <v>19</v>
      </c>
      <c r="C10" s="62"/>
      <c r="D10" s="62"/>
      <c r="E10" s="62"/>
      <c r="F10" s="62"/>
    </row>
    <row r="11" spans="2:6" ht="22.05" customHeight="1" x14ac:dyDescent="0.3">
      <c r="B11" s="12" t="s">
        <v>20</v>
      </c>
      <c r="C11" s="13" t="s">
        <v>16</v>
      </c>
      <c r="D11" s="14" t="s">
        <v>17</v>
      </c>
      <c r="E11" s="15" t="s">
        <v>18</v>
      </c>
    </row>
    <row r="12" spans="2:6" ht="22.05" customHeight="1" x14ac:dyDescent="0.3">
      <c r="B12" s="30" t="s">
        <v>7</v>
      </c>
      <c r="C12" s="31">
        <v>10</v>
      </c>
      <c r="D12" s="32">
        <v>17</v>
      </c>
      <c r="E12" s="33">
        <v>24</v>
      </c>
    </row>
    <row r="13" spans="2:6" ht="22.05" customHeight="1" x14ac:dyDescent="0.3">
      <c r="B13" s="34" t="s">
        <v>21</v>
      </c>
      <c r="C13" s="35">
        <v>7000</v>
      </c>
      <c r="D13" s="36">
        <v>15300</v>
      </c>
      <c r="E13" s="37">
        <v>26400</v>
      </c>
    </row>
    <row r="14" spans="2:6" ht="22.05" customHeight="1" x14ac:dyDescent="0.3">
      <c r="B14" s="30" t="s">
        <v>22</v>
      </c>
      <c r="C14" s="38">
        <v>-6000</v>
      </c>
      <c r="D14" s="39">
        <v>3300</v>
      </c>
      <c r="E14" s="40">
        <v>15400</v>
      </c>
    </row>
    <row r="15" spans="2:6" ht="22.05" customHeight="1" x14ac:dyDescent="0.3">
      <c r="B15" s="34" t="s">
        <v>23</v>
      </c>
      <c r="C15" s="41">
        <v>1300</v>
      </c>
      <c r="D15" s="42">
        <v>705.88235294117646</v>
      </c>
      <c r="E15" s="43">
        <v>458.33333333333331</v>
      </c>
    </row>
  </sheetData>
  <mergeCells count="3">
    <mergeCell ref="B2:F2"/>
    <mergeCell ref="B10:F10"/>
    <mergeCell ref="B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5CF6"/>
  </sheetPr>
  <dimension ref="B1:C57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3" width="60" customWidth="1"/>
    <col min="4" max="4" width="2" customWidth="1"/>
  </cols>
  <sheetData>
    <row r="1" spans="2:3" ht="30" customHeight="1" x14ac:dyDescent="0.3">
      <c r="B1" s="69" t="s">
        <v>24</v>
      </c>
      <c r="C1" s="62"/>
    </row>
    <row r="2" spans="2:3" ht="16.05" customHeight="1" x14ac:dyDescent="0.3">
      <c r="B2" s="66" t="s">
        <v>25</v>
      </c>
      <c r="C2" s="62"/>
    </row>
    <row r="4" spans="2:3" ht="24" customHeight="1" x14ac:dyDescent="0.3">
      <c r="B4" s="61" t="s">
        <v>26</v>
      </c>
      <c r="C4" s="62"/>
    </row>
    <row r="5" spans="2:3" ht="19.95" customHeight="1" x14ac:dyDescent="0.3">
      <c r="B5" s="44"/>
      <c r="C5" s="45" t="s">
        <v>27</v>
      </c>
    </row>
    <row r="6" spans="2:3" ht="7.95" customHeight="1" x14ac:dyDescent="0.3">
      <c r="B6" s="46"/>
      <c r="C6" s="47"/>
    </row>
    <row r="7" spans="2:3" ht="19.95" customHeight="1" x14ac:dyDescent="0.3">
      <c r="B7" s="44"/>
      <c r="C7" s="45" t="s">
        <v>25</v>
      </c>
    </row>
    <row r="8" spans="2:3" ht="19.95" customHeight="1" x14ac:dyDescent="0.3">
      <c r="B8" s="44"/>
      <c r="C8" s="45" t="s">
        <v>28</v>
      </c>
    </row>
    <row r="9" spans="2:3" ht="19.95" customHeight="1" x14ac:dyDescent="0.3">
      <c r="B9" s="44"/>
      <c r="C9" s="45" t="s">
        <v>29</v>
      </c>
    </row>
    <row r="10" spans="2:3" ht="19.95" customHeight="1" x14ac:dyDescent="0.3">
      <c r="B10" s="44"/>
      <c r="C10" s="45" t="s">
        <v>30</v>
      </c>
    </row>
    <row r="11" spans="2:3" ht="7.95" customHeight="1" x14ac:dyDescent="0.3">
      <c r="B11" s="46"/>
      <c r="C11" s="47"/>
    </row>
    <row r="12" spans="2:3" ht="19.95" customHeight="1" x14ac:dyDescent="0.3">
      <c r="B12" s="44"/>
      <c r="C12" s="48" t="s">
        <v>31</v>
      </c>
    </row>
    <row r="13" spans="2:3" ht="19.95" customHeight="1" x14ac:dyDescent="0.3">
      <c r="B13" s="44"/>
      <c r="C13" s="48" t="s">
        <v>32</v>
      </c>
    </row>
    <row r="14" spans="2:3" ht="10.050000000000001" customHeight="1" x14ac:dyDescent="0.3">
      <c r="B14" s="46"/>
      <c r="C14" s="46"/>
    </row>
    <row r="15" spans="2:3" ht="24" customHeight="1" x14ac:dyDescent="0.3">
      <c r="B15" s="68" t="s">
        <v>33</v>
      </c>
      <c r="C15" s="62"/>
    </row>
    <row r="16" spans="2:3" ht="19.95" customHeight="1" x14ac:dyDescent="0.3">
      <c r="B16" s="49"/>
      <c r="C16" s="50" t="s">
        <v>34</v>
      </c>
    </row>
    <row r="17" spans="2:3" ht="7.95" customHeight="1" x14ac:dyDescent="0.3">
      <c r="B17" s="46"/>
      <c r="C17" s="47"/>
    </row>
    <row r="18" spans="2:3" ht="19.95" customHeight="1" x14ac:dyDescent="0.3">
      <c r="B18" s="49"/>
      <c r="C18" s="50" t="s">
        <v>35</v>
      </c>
    </row>
    <row r="19" spans="2:3" ht="19.95" customHeight="1" x14ac:dyDescent="0.3">
      <c r="B19" s="49"/>
      <c r="C19" s="50" t="s">
        <v>36</v>
      </c>
    </row>
    <row r="20" spans="2:3" ht="19.95" customHeight="1" x14ac:dyDescent="0.3">
      <c r="B20" s="49"/>
      <c r="C20" s="50" t="s">
        <v>37</v>
      </c>
    </row>
    <row r="21" spans="2:3" ht="7.95" customHeight="1" x14ac:dyDescent="0.3">
      <c r="B21" s="46"/>
      <c r="C21" s="47"/>
    </row>
    <row r="22" spans="2:3" ht="19.95" customHeight="1" x14ac:dyDescent="0.3">
      <c r="B22" s="49"/>
      <c r="C22" s="51" t="s">
        <v>38</v>
      </c>
    </row>
    <row r="23" spans="2:3" ht="10.050000000000001" customHeight="1" x14ac:dyDescent="0.3">
      <c r="B23" s="46"/>
      <c r="C23" s="46"/>
    </row>
    <row r="24" spans="2:3" ht="24" customHeight="1" x14ac:dyDescent="0.3">
      <c r="B24" s="67" t="s">
        <v>39</v>
      </c>
      <c r="C24" s="62"/>
    </row>
    <row r="25" spans="2:3" ht="19.95" customHeight="1" x14ac:dyDescent="0.3">
      <c r="B25" s="52"/>
      <c r="C25" s="53" t="s">
        <v>40</v>
      </c>
    </row>
    <row r="26" spans="2:3" ht="7.95" customHeight="1" x14ac:dyDescent="0.3">
      <c r="B26" s="46"/>
      <c r="C26" s="47"/>
    </row>
    <row r="27" spans="2:3" ht="19.95" customHeight="1" x14ac:dyDescent="0.3">
      <c r="B27" s="52"/>
      <c r="C27" s="53" t="s">
        <v>41</v>
      </c>
    </row>
    <row r="28" spans="2:3" ht="19.95" customHeight="1" x14ac:dyDescent="0.3">
      <c r="B28" s="52"/>
      <c r="C28" s="53" t="s">
        <v>42</v>
      </c>
    </row>
    <row r="29" spans="2:3" ht="19.95" customHeight="1" x14ac:dyDescent="0.3">
      <c r="B29" s="52"/>
      <c r="C29" s="53" t="s">
        <v>43</v>
      </c>
    </row>
    <row r="30" spans="2:3" ht="19.95" customHeight="1" x14ac:dyDescent="0.3">
      <c r="B30" s="52"/>
      <c r="C30" s="53" t="s">
        <v>44</v>
      </c>
    </row>
    <row r="31" spans="2:3" ht="19.95" customHeight="1" x14ac:dyDescent="0.3">
      <c r="B31" s="52"/>
      <c r="C31" s="53" t="s">
        <v>45</v>
      </c>
    </row>
    <row r="32" spans="2:3" ht="7.95" customHeight="1" x14ac:dyDescent="0.3">
      <c r="B32" s="46"/>
      <c r="C32" s="47"/>
    </row>
    <row r="33" spans="2:3" ht="19.95" customHeight="1" x14ac:dyDescent="0.3">
      <c r="B33" s="52"/>
      <c r="C33" s="54" t="s">
        <v>46</v>
      </c>
    </row>
    <row r="34" spans="2:3" ht="10.050000000000001" customHeight="1" x14ac:dyDescent="0.3">
      <c r="B34" s="46"/>
      <c r="C34" s="46"/>
    </row>
    <row r="35" spans="2:3" ht="24" customHeight="1" x14ac:dyDescent="0.3">
      <c r="B35" s="70" t="s">
        <v>47</v>
      </c>
      <c r="C35" s="62"/>
    </row>
    <row r="36" spans="2:3" ht="19.95" customHeight="1" x14ac:dyDescent="0.3">
      <c r="B36" s="55"/>
      <c r="C36" s="56" t="s">
        <v>48</v>
      </c>
    </row>
    <row r="37" spans="2:3" ht="7.95" customHeight="1" x14ac:dyDescent="0.3">
      <c r="B37" s="46"/>
      <c r="C37" s="47"/>
    </row>
    <row r="38" spans="2:3" ht="19.95" customHeight="1" x14ac:dyDescent="0.3">
      <c r="B38" s="55"/>
      <c r="C38" s="56" t="s">
        <v>49</v>
      </c>
    </row>
    <row r="39" spans="2:3" ht="19.95" customHeight="1" x14ac:dyDescent="0.3">
      <c r="B39" s="55"/>
      <c r="C39" s="56" t="s">
        <v>50</v>
      </c>
    </row>
    <row r="40" spans="2:3" ht="19.95" customHeight="1" x14ac:dyDescent="0.3">
      <c r="B40" s="55"/>
      <c r="C40" s="56" t="s">
        <v>51</v>
      </c>
    </row>
    <row r="41" spans="2:3" ht="19.95" customHeight="1" x14ac:dyDescent="0.3">
      <c r="B41" s="55"/>
      <c r="C41" s="56" t="s">
        <v>52</v>
      </c>
    </row>
    <row r="42" spans="2:3" ht="19.95" customHeight="1" x14ac:dyDescent="0.3">
      <c r="B42" s="55"/>
      <c r="C42" s="56" t="s">
        <v>53</v>
      </c>
    </row>
    <row r="43" spans="2:3" ht="19.95" customHeight="1" x14ac:dyDescent="0.3">
      <c r="B43" s="55"/>
      <c r="C43" s="56" t="s">
        <v>54</v>
      </c>
    </row>
    <row r="44" spans="2:3" ht="7.95" customHeight="1" x14ac:dyDescent="0.3">
      <c r="B44" s="46"/>
      <c r="C44" s="47"/>
    </row>
    <row r="45" spans="2:3" ht="19.95" customHeight="1" x14ac:dyDescent="0.3">
      <c r="B45" s="55"/>
      <c r="C45" s="57" t="s">
        <v>55</v>
      </c>
    </row>
    <row r="46" spans="2:3" ht="10.050000000000001" customHeight="1" x14ac:dyDescent="0.3">
      <c r="B46" s="46"/>
      <c r="C46" s="46"/>
    </row>
    <row r="47" spans="2:3" ht="24" customHeight="1" x14ac:dyDescent="0.3">
      <c r="B47" s="64" t="s">
        <v>56</v>
      </c>
      <c r="C47" s="62"/>
    </row>
    <row r="48" spans="2:3" ht="19.95" customHeight="1" x14ac:dyDescent="0.3">
      <c r="B48" s="58"/>
      <c r="C48" s="59" t="s">
        <v>14</v>
      </c>
    </row>
    <row r="49" spans="2:3" ht="7.95" customHeight="1" x14ac:dyDescent="0.3">
      <c r="B49" s="46"/>
      <c r="C49" s="47"/>
    </row>
    <row r="50" spans="2:3" ht="19.95" customHeight="1" x14ac:dyDescent="0.3">
      <c r="B50" s="58"/>
      <c r="C50" s="59" t="s">
        <v>57</v>
      </c>
    </row>
    <row r="51" spans="2:3" ht="19.95" customHeight="1" x14ac:dyDescent="0.3">
      <c r="B51" s="58"/>
      <c r="C51" s="59" t="s">
        <v>58</v>
      </c>
    </row>
    <row r="52" spans="2:3" ht="19.95" customHeight="1" x14ac:dyDescent="0.3">
      <c r="B52" s="58"/>
      <c r="C52" s="59" t="s">
        <v>59</v>
      </c>
    </row>
    <row r="53" spans="2:3" ht="7.95" customHeight="1" x14ac:dyDescent="0.3">
      <c r="B53" s="46"/>
      <c r="C53" s="47"/>
    </row>
    <row r="54" spans="2:3" ht="19.95" customHeight="1" x14ac:dyDescent="0.3">
      <c r="B54" s="58"/>
      <c r="C54" s="59" t="s">
        <v>60</v>
      </c>
    </row>
    <row r="55" spans="2:3" ht="19.95" customHeight="1" x14ac:dyDescent="0.3">
      <c r="B55" s="58"/>
      <c r="C55" s="60" t="s">
        <v>61</v>
      </c>
    </row>
    <row r="56" spans="2:3" ht="19.95" customHeight="1" x14ac:dyDescent="0.3">
      <c r="B56" s="58"/>
      <c r="C56" s="60" t="s">
        <v>62</v>
      </c>
    </row>
    <row r="57" spans="2:3" ht="10.050000000000001" customHeight="1" x14ac:dyDescent="0.3">
      <c r="B57" s="46"/>
      <c r="C57" s="46"/>
    </row>
  </sheetData>
  <mergeCells count="7">
    <mergeCell ref="B24:C24"/>
    <mergeCell ref="B2:C2"/>
    <mergeCell ref="B47:C47"/>
    <mergeCell ref="B15:C15"/>
    <mergeCell ref="B1:C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 de scénarios</vt:lpstr>
      <vt:lpstr>MODÈLE</vt:lpstr>
      <vt:lpstr>SCÉNARIOS</vt:lpstr>
      <vt:lpstr>VALEUR CIBLE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adjowa sika Flora NOUDOUKOU</cp:lastModifiedBy>
  <dcterms:created xsi:type="dcterms:W3CDTF">2026-06-12T11:00:51Z</dcterms:created>
  <dcterms:modified xsi:type="dcterms:W3CDTF">2026-06-13T12:00:09Z</dcterms:modified>
</cp:coreProperties>
</file>